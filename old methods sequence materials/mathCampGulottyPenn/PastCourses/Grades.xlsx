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725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13" i="1" l="1"/>
  <c r="N12" i="1"/>
  <c r="K13" i="1"/>
  <c r="K12" i="1"/>
  <c r="M4" i="1"/>
  <c r="O4" i="1"/>
  <c r="M5" i="1"/>
  <c r="O5" i="1"/>
  <c r="M6" i="1"/>
  <c r="O6" i="1"/>
  <c r="M7" i="1"/>
  <c r="O7" i="1"/>
  <c r="M8" i="1"/>
  <c r="O8" i="1"/>
  <c r="M9" i="1"/>
  <c r="O9" i="1"/>
  <c r="M3" i="1"/>
  <c r="O3" i="1"/>
</calcChain>
</file>

<file path=xl/sharedStrings.xml><?xml version="1.0" encoding="utf-8"?>
<sst xmlns="http://schemas.openxmlformats.org/spreadsheetml/2006/main" count="24" uniqueCount="22">
  <si>
    <t>Baik</t>
  </si>
  <si>
    <t>Gonzalez</t>
  </si>
  <si>
    <t>Valenzuela</t>
  </si>
  <si>
    <t>Zhang, Jing</t>
  </si>
  <si>
    <t>Zhang, Zhongyun</t>
  </si>
  <si>
    <t>Zeng, Grace</t>
  </si>
  <si>
    <t>Kim, Minju</t>
  </si>
  <si>
    <t>Assignment 1</t>
  </si>
  <si>
    <t>Assignment 2</t>
  </si>
  <si>
    <t>Assignment 3</t>
  </si>
  <si>
    <t>Assignment 4</t>
  </si>
  <si>
    <t>Assignment 5</t>
  </si>
  <si>
    <t>Assignment 6</t>
  </si>
  <si>
    <t>Assignment 7</t>
  </si>
  <si>
    <t>Assignment 8</t>
  </si>
  <si>
    <t>Assignment 9</t>
  </si>
  <si>
    <t>Midterm 1</t>
  </si>
  <si>
    <t>Midterm</t>
  </si>
  <si>
    <t>Midterm 2</t>
  </si>
  <si>
    <t>Final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</si>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</sst>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">
    <xf numFmtId="0" fontId="0" fillId="0" borderId="0" xfId="0"/>
  </cellXfs>
  <cellStyles count="6">
    <cellStyle name="Followed Hyperlink" xfId="1" builtinId="9" hidden="1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3"/>
  <sheetViews>
    <sheetView tabSelected="1" workbookViewId="0">
      <selection activeCell="O5" sqref="O5"/>
    </sheetView>
  </sheetViews>
  <sheetFormatPr baseColWidth="10" defaultRowHeight="15" x14ac:dyDescent="0"/>
  <cols>
    <col min="1" max="1" width="22.83203125" customWidth="1"/>
    <col min="2" max="2" width="12" customWidth="1"/>
  </cols>
  <sheetData>
    <row r="2" spans="1:15"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18</v>
      </c>
      <c r="M2" t="s">
        <v>17</v>
      </c>
      <c r="N2" t="s">
        <v>19</v>
      </c>
    </row>
    <row r="3" spans="1:15">
      <c r="A3" t="s">
        <v>0</v>
      </c>
      <c r="B3">
        <v>9.1</v>
      </c>
      <c r="C3">
        <v>8.8000000000000007</v>
      </c>
      <c r="D3">
        <v>10</v>
      </c>
      <c r="E3">
        <v>10</v>
      </c>
      <c r="F3">
        <v>9.6999999999999993</v>
      </c>
      <c r="G3">
        <v>9.6</v>
      </c>
      <c r="H3">
        <v>10</v>
      </c>
      <c r="I3">
        <v>9.6</v>
      </c>
      <c r="J3">
        <v>10</v>
      </c>
      <c r="K3">
        <v>10</v>
      </c>
      <c r="L3">
        <v>10</v>
      </c>
      <c r="M3">
        <f>(K3+L3)/2</f>
        <v>10</v>
      </c>
      <c r="N3">
        <v>8.5</v>
      </c>
      <c r="O3">
        <f>0.4*AVERAGE(B3:J3)+0.3*M3+0.3*N3</f>
        <v>9.4077777777777776</v>
      </c>
    </row>
    <row r="4" spans="1:15">
      <c r="A4" t="s">
        <v>1</v>
      </c>
      <c r="B4">
        <v>8.4</v>
      </c>
      <c r="C4">
        <v>9</v>
      </c>
      <c r="D4">
        <v>9.3000000000000007</v>
      </c>
      <c r="E4">
        <v>8.1</v>
      </c>
      <c r="F4">
        <v>9.6999999999999993</v>
      </c>
      <c r="G4">
        <v>9.6</v>
      </c>
      <c r="H4">
        <v>9.8000000000000007</v>
      </c>
      <c r="I4">
        <v>9.6</v>
      </c>
      <c r="J4">
        <v>10</v>
      </c>
      <c r="K4">
        <v>1.8</v>
      </c>
      <c r="L4">
        <v>10</v>
      </c>
      <c r="M4">
        <f t="shared" ref="M4:M9" si="0">(K4+L4)/2</f>
        <v>5.9</v>
      </c>
      <c r="N4">
        <v>3.2</v>
      </c>
      <c r="O4">
        <f t="shared" ref="O4:O9" si="1">0.4*AVERAGE(B4:J4)+0.3*M4+0.3*N4</f>
        <v>6.4411111111111117</v>
      </c>
    </row>
    <row r="5" spans="1:15">
      <c r="A5" t="s">
        <v>6</v>
      </c>
      <c r="B5">
        <v>9.3000000000000007</v>
      </c>
      <c r="C5">
        <v>8.5</v>
      </c>
      <c r="D5">
        <v>10</v>
      </c>
      <c r="E5">
        <v>10</v>
      </c>
      <c r="F5">
        <v>9</v>
      </c>
      <c r="G5">
        <v>10</v>
      </c>
      <c r="H5">
        <v>9.8000000000000007</v>
      </c>
      <c r="I5">
        <v>10</v>
      </c>
      <c r="J5">
        <v>10</v>
      </c>
      <c r="K5">
        <v>10</v>
      </c>
      <c r="L5">
        <v>10</v>
      </c>
      <c r="M5">
        <f t="shared" si="0"/>
        <v>10</v>
      </c>
      <c r="N5">
        <v>8.1</v>
      </c>
      <c r="O5">
        <f t="shared" si="1"/>
        <v>9.2788888888888881</v>
      </c>
    </row>
    <row r="6" spans="1:15">
      <c r="A6" t="s">
        <v>2</v>
      </c>
      <c r="B6">
        <v>8.3000000000000007</v>
      </c>
      <c r="C6">
        <v>8.8000000000000007</v>
      </c>
      <c r="D6">
        <v>9.3000000000000007</v>
      </c>
      <c r="E6">
        <v>8.6999999999999993</v>
      </c>
      <c r="F6">
        <v>8.6999999999999993</v>
      </c>
      <c r="G6">
        <v>8.3000000000000007</v>
      </c>
      <c r="H6">
        <v>9.1</v>
      </c>
      <c r="I6">
        <v>9.6</v>
      </c>
      <c r="J6">
        <v>9.6999999999999993</v>
      </c>
      <c r="K6">
        <v>4.8</v>
      </c>
      <c r="L6">
        <v>9.8000000000000007</v>
      </c>
      <c r="M6">
        <f t="shared" si="0"/>
        <v>7.3000000000000007</v>
      </c>
      <c r="N6">
        <v>6.2</v>
      </c>
      <c r="O6">
        <f t="shared" si="1"/>
        <v>7.6277777777777782</v>
      </c>
    </row>
    <row r="7" spans="1:15">
      <c r="A7" t="s">
        <v>5</v>
      </c>
      <c r="B7">
        <v>9</v>
      </c>
      <c r="C7">
        <v>7.1</v>
      </c>
      <c r="D7">
        <v>9.3000000000000007</v>
      </c>
      <c r="E7">
        <v>9.6</v>
      </c>
      <c r="F7">
        <v>7.7</v>
      </c>
      <c r="G7">
        <v>9.1</v>
      </c>
      <c r="H7">
        <v>9.8000000000000007</v>
      </c>
      <c r="I7">
        <v>7</v>
      </c>
      <c r="J7">
        <v>9.3000000000000007</v>
      </c>
      <c r="K7">
        <v>9.5</v>
      </c>
      <c r="L7">
        <v>9.5</v>
      </c>
      <c r="M7">
        <f t="shared" si="0"/>
        <v>9.5</v>
      </c>
      <c r="N7">
        <v>9.8000000000000007</v>
      </c>
      <c r="O7">
        <f t="shared" si="1"/>
        <v>9.2522222222222226</v>
      </c>
    </row>
    <row r="8" spans="1:15">
      <c r="A8" t="s">
        <v>3</v>
      </c>
      <c r="B8">
        <v>9.6</v>
      </c>
      <c r="C8">
        <v>9.1</v>
      </c>
      <c r="D8">
        <v>9.5</v>
      </c>
      <c r="E8">
        <v>10</v>
      </c>
      <c r="F8">
        <v>9</v>
      </c>
      <c r="G8">
        <v>9.4</v>
      </c>
      <c r="H8">
        <v>9</v>
      </c>
      <c r="I8">
        <v>10</v>
      </c>
      <c r="J8">
        <v>10</v>
      </c>
      <c r="K8">
        <v>9.8000000000000007</v>
      </c>
      <c r="L8">
        <v>9.8000000000000007</v>
      </c>
      <c r="M8">
        <f t="shared" si="0"/>
        <v>9.8000000000000007</v>
      </c>
      <c r="N8">
        <v>8.1</v>
      </c>
      <c r="O8">
        <f t="shared" si="1"/>
        <v>9.1744444444444433</v>
      </c>
    </row>
    <row r="9" spans="1:15">
      <c r="A9" t="s">
        <v>4</v>
      </c>
      <c r="B9">
        <v>8.6999999999999993</v>
      </c>
      <c r="C9">
        <v>7.2</v>
      </c>
      <c r="D9">
        <v>9.8000000000000007</v>
      </c>
      <c r="E9">
        <v>10</v>
      </c>
      <c r="F9">
        <v>7.1</v>
      </c>
      <c r="G9">
        <v>4.0999999999999996</v>
      </c>
      <c r="H9">
        <v>7.1</v>
      </c>
      <c r="I9">
        <v>6.1</v>
      </c>
      <c r="J9">
        <v>6.7</v>
      </c>
      <c r="K9">
        <v>3.6</v>
      </c>
      <c r="L9">
        <v>7.9</v>
      </c>
      <c r="M9">
        <f t="shared" si="0"/>
        <v>5.75</v>
      </c>
      <c r="N9">
        <v>7.2</v>
      </c>
      <c r="O9">
        <f t="shared" si="1"/>
        <v>6.8538888888888891</v>
      </c>
    </row>
    <row r="12" spans="1:15">
      <c r="J12" t="s">
        <v>20</v>
      </c>
      <c r="K12">
        <f>AVERAGE(K3:K9)</f>
        <v>7.0714285714285721</v>
      </c>
      <c r="M12" t="s">
        <v>20</v>
      </c>
      <c r="N12">
        <f>AVERAGE(N3:N9)</f>
        <v>7.3</v>
      </c>
    </row>
    <row r="13" spans="1:15">
      <c r="J13" t="s">
        <v>21</v>
      </c>
      <c r="K13">
        <f>STDEV(K3:K9)</f>
        <v>3.5471651994770319</v>
      </c>
      <c r="M13" t="s">
        <v>21</v>
      </c>
      <c r="N13">
        <f>STDEV(N3:N9)</f>
        <v>2.121320343559645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Chicago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Milena Ang</dc:creator>
  <cp:lastModifiedBy>Milena Ang</cp:lastModifiedBy>
  <dcterms:created xsi:type="dcterms:W3CDTF">2017-03-12T20:47:39Z</dcterms:created>
  <dcterms:modified xsi:type="dcterms:W3CDTF">2017-03-15T19:34:59Z</dcterms:modified>
</cp:coreProperties>
</file>